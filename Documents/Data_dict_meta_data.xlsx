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222dbb52948bb9/Desktop/supply_chain_management/Documents/"/>
    </mc:Choice>
  </mc:AlternateContent>
  <xr:revisionPtr revIDLastSave="114" documentId="8_{A5DDE7CE-C0AC-4147-AB9A-5A5265DF6BCE}" xr6:coauthVersionLast="47" xr6:coauthVersionMax="47" xr10:uidLastSave="{B92C64DE-6309-4B25-BD3F-3DB568367AE9}"/>
  <bookViews>
    <workbookView xWindow="-108" yWindow="-108" windowWidth="23256" windowHeight="12456" activeTab="2" xr2:uid="{45EC0A37-9612-4995-A777-D9203057BCA0}"/>
  </bookViews>
  <sheets>
    <sheet name="data_info" sheetId="1" r:id="rId1"/>
    <sheet name="Data_quality_logs" sheetId="2" r:id="rId2"/>
    <sheet name="kPI_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 a="1"/>
  <c r="B4" i="3" s="1"/>
  <c r="B5" i="3" a="1"/>
  <c r="B5" i="3" s="1"/>
  <c r="B6" i="3" a="1"/>
  <c r="B6" i="3" s="1"/>
  <c r="B7" i="3" a="1"/>
  <c r="B7" i="3" s="1"/>
  <c r="B8" i="3" a="1"/>
  <c r="B8" i="3" s="1"/>
  <c r="B9" i="3" a="1"/>
  <c r="B9" i="3" s="1"/>
  <c r="B10" i="3" a="1"/>
  <c r="B10" i="3" s="1"/>
  <c r="B11" i="3" a="1"/>
  <c r="B11" i="3" s="1"/>
  <c r="B12" i="3" a="1"/>
  <c r="B12" i="3" s="1"/>
  <c r="B13" i="3" a="1"/>
  <c r="B13" i="3" s="1"/>
  <c r="B14" i="3" a="1"/>
  <c r="B14" i="3" s="1"/>
  <c r="B15" i="3" a="1"/>
  <c r="B15" i="3" s="1"/>
  <c r="B16" i="3" a="1"/>
  <c r="B16" i="3" s="1"/>
  <c r="B17" i="3" a="1"/>
  <c r="B17" i="3" s="1"/>
  <c r="B18" i="3" a="1"/>
  <c r="B18" i="3" s="1"/>
  <c r="B19" i="3" a="1"/>
  <c r="B19" i="3" s="1"/>
  <c r="A4" i="3" a="1"/>
  <c r="A4" i="3" s="1"/>
  <c r="A5" i="3" a="1"/>
  <c r="A5" i="3" s="1"/>
  <c r="A6" i="3" a="1"/>
  <c r="A6" i="3" s="1"/>
  <c r="A7" i="3" a="1"/>
  <c r="A7" i="3" s="1"/>
  <c r="A8" i="3" a="1"/>
  <c r="A8" i="3" s="1"/>
  <c r="A9" i="3" a="1"/>
  <c r="A9" i="3" s="1"/>
  <c r="A10" i="3" a="1"/>
  <c r="A10" i="3" s="1"/>
  <c r="A11" i="3" a="1"/>
  <c r="A11" i="3" s="1"/>
  <c r="A12" i="3" a="1"/>
  <c r="A12" i="3" s="1"/>
  <c r="A13" i="3" a="1"/>
  <c r="A13" i="3" s="1"/>
  <c r="A14" i="3" a="1"/>
  <c r="A14" i="3" s="1"/>
  <c r="A15" i="3" a="1"/>
  <c r="A15" i="3" s="1"/>
  <c r="A16" i="3" a="1"/>
  <c r="A16" i="3" s="1"/>
  <c r="A17" i="3" a="1"/>
  <c r="A17" i="3" s="1"/>
  <c r="A18" i="3" a="1"/>
  <c r="A18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<sst xmlns="http://schemas.openxmlformats.org/spreadsheetml/2006/main" count="202" uniqueCount="115">
  <si>
    <t>Shipment_ID</t>
  </si>
  <si>
    <t>Order_Date</t>
  </si>
  <si>
    <t>Promised_Delivery_Date</t>
  </si>
  <si>
    <t>Actual_Delivery_Date</t>
  </si>
  <si>
    <t>Delay_Days</t>
  </si>
  <si>
    <t>Delay_Status</t>
  </si>
  <si>
    <t>On_Time_Flag</t>
  </si>
  <si>
    <t>Origin_City</t>
  </si>
  <si>
    <t>Origin_State</t>
  </si>
  <si>
    <t>Origin_Region</t>
  </si>
  <si>
    <t>Destination_City</t>
  </si>
  <si>
    <t>Destination_State</t>
  </si>
  <si>
    <t>Destination_Region</t>
  </si>
  <si>
    <t>Route_ID</t>
  </si>
  <si>
    <t>Distance_Miles</t>
  </si>
  <si>
    <t>Warehouse_ID</t>
  </si>
  <si>
    <t>Warehouse_City</t>
  </si>
  <si>
    <t>Warehouse_State</t>
  </si>
  <si>
    <t>Carrier</t>
  </si>
  <si>
    <t>Ship_Mode</t>
  </si>
  <si>
    <t>Product_Category</t>
  </si>
  <si>
    <t>Product_Weight_kg</t>
  </si>
  <si>
    <t>Order_Value</t>
  </si>
  <si>
    <t>Shipping_Cost</t>
  </si>
  <si>
    <t>Customer_Segment</t>
  </si>
  <si>
    <t>Customer_ID</t>
  </si>
  <si>
    <t>Weather_Condition</t>
  </si>
  <si>
    <t>Traffic_Condition</t>
  </si>
  <si>
    <t>columns</t>
  </si>
  <si>
    <t>datatype</t>
  </si>
  <si>
    <t>Actual_datatype</t>
  </si>
  <si>
    <t>Nulls</t>
  </si>
  <si>
    <t>Info</t>
  </si>
  <si>
    <t xml:space="preserve">object </t>
  </si>
  <si>
    <t>int</t>
  </si>
  <si>
    <t>float</t>
  </si>
  <si>
    <t>date</t>
  </si>
  <si>
    <t>Null</t>
  </si>
  <si>
    <t>No</t>
  </si>
  <si>
    <t>Unique Value</t>
  </si>
  <si>
    <t>Order Place Date</t>
  </si>
  <si>
    <t>Delivery Date</t>
  </si>
  <si>
    <t>Actual Delivered Date</t>
  </si>
  <si>
    <t>No Of  days Delayed</t>
  </si>
  <si>
    <t>delivery packege sending place</t>
  </si>
  <si>
    <t>which route the package will be going(200 unique routes are there)</t>
  </si>
  <si>
    <t>Distance b/w origin and destination</t>
  </si>
  <si>
    <t>where package stored by company(10 warehouses are there)</t>
  </si>
  <si>
    <t>location of warehouses</t>
  </si>
  <si>
    <t>['FedEx', 'UPS', 'DHL', 'USPS', 'OnTrac'] delivery sender to customers</t>
  </si>
  <si>
    <t>what type mode they are using ['Express', 'Standard', 'Air', 'Ground']</t>
  </si>
  <si>
    <t>category of a product ['Food &amp; Beverage', 'Apparel', 'Electronics', 'Furniture', 'Automotive', 'Pharmaceuticals', 'Medical Supplies', 'Industrial']</t>
  </si>
  <si>
    <t>weight of product in kgs</t>
  </si>
  <si>
    <t>sales amount of order</t>
  </si>
  <si>
    <t>how much costing for shipping mode</t>
  </si>
  <si>
    <t>category of customer ['B2C', 'B2B', 'Government'],B2C — Business to Consumer,B2B — Business to Business</t>
  </si>
  <si>
    <t>Unique Value for each customer</t>
  </si>
  <si>
    <t>['Clear', 'Storm', 'Fog', 'Snow', 'Rain', nan]</t>
  </si>
  <si>
    <t xml:space="preserve">['High', 'Medium', nan, 'Low', 'Severe'] </t>
  </si>
  <si>
    <t>"1 = Delivered on time or early, 0 = Delayed"</t>
  </si>
  <si>
    <t>" where shipment originates"</t>
  </si>
  <si>
    <t>Early = orders=159801,Severely Delayed = orders=131345,Delayed	= orders=67414,On Time	= orders=53821,
Slightly Delayed	= orders=24722</t>
  </si>
  <si>
    <t>Null_Values</t>
  </si>
  <si>
    <t>no action needed</t>
  </si>
  <si>
    <t>None</t>
  </si>
  <si>
    <t>Duplicates_rows</t>
  </si>
  <si>
    <t>Data_Types</t>
  </si>
  <si>
    <t>Converted int datetime</t>
  </si>
  <si>
    <t>Check</t>
  </si>
  <si>
    <t>Finding</t>
  </si>
  <si>
    <t>Action_Taken</t>
  </si>
  <si>
    <t>Impact</t>
  </si>
  <si>
    <t>800 duplicates rows</t>
  </si>
  <si>
    <t xml:space="preserve">Order_Date,Promised_Delivery_Date,Actual_Delivery_Date	 all object </t>
  </si>
  <si>
    <t>outliers</t>
  </si>
  <si>
    <t>No  outliers</t>
  </si>
  <si>
    <t>Actual_Delivery_Date 13697 ,Delay_Days 13697,Delay_Status 13697,On_Time_Flag13697,Weather_Condition  22707,Traffic_Condition 18220</t>
  </si>
  <si>
    <t>for(Actual_Delivery_Date 13697 ,Delay_Days 13697,
Delay_Status 13697,On_Time_Flag13697)  extract as transit.csv.
Weather_Condition  22707,Traffic_Condition 18220  is changed to "Unknow"</t>
  </si>
  <si>
    <t>Dropped now shape is (436328, 28)</t>
  </si>
  <si>
    <t>Formula</t>
  </si>
  <si>
    <t>Page</t>
  </si>
  <si>
    <t>KPI Name</t>
  </si>
  <si>
    <t xml:space="preserve"> On-Time Delivery Rate</t>
  </si>
  <si>
    <t>On Time Orders / Total Orders x 100</t>
  </si>
  <si>
    <t>Ans</t>
  </si>
  <si>
    <t>Total shipments</t>
  </si>
  <si>
    <t>Average Delay Days</t>
  </si>
  <si>
    <t>AVG(Delay_Days) WHERE Delay_Days &gt; 0</t>
  </si>
  <si>
    <t>9.31 DAYS</t>
  </si>
  <si>
    <t>COUNT(Shipment_ID)</t>
  </si>
  <si>
    <t>Total Shipping Cost</t>
  </si>
  <si>
    <t>SUM(Shipping_Cost)</t>
  </si>
  <si>
    <t xml:space="preserve"> Delay Cost Impact</t>
  </si>
  <si>
    <t>Delayed Orders x AVG(Shipping_Cost)</t>
  </si>
  <si>
    <t>Avg Order Value</t>
  </si>
  <si>
    <t>SUM(Order_Value) / COUNT(Shipment_ID)</t>
  </si>
  <si>
    <t xml:space="preserve"> Route Efficiency Score</t>
  </si>
  <si>
    <t>On Time % per Route</t>
  </si>
  <si>
    <t>Carrier On-Time Rate</t>
  </si>
  <si>
    <t>On Time % per Carrier</t>
  </si>
  <si>
    <t>Ship Mode Performance</t>
  </si>
  <si>
    <t>On Time % per Ship Mode</t>
  </si>
  <si>
    <t>Distance vs Delay</t>
  </si>
  <si>
    <t>arehouse On-Time Rate</t>
  </si>
  <si>
    <t>On Time % per Warehouse</t>
  </si>
  <si>
    <t>Weather Delay Impact</t>
  </si>
  <si>
    <t>AVG Delay Days by Weather Condition</t>
  </si>
  <si>
    <t>Traffic Delay Impact</t>
  </si>
  <si>
    <t>AVG Delay Days by Traffic Condition</t>
  </si>
  <si>
    <t>Monthly Delay Trend</t>
  </si>
  <si>
    <t>Delay Rate % by Month</t>
  </si>
  <si>
    <t>Seasonal Delay Pattern</t>
  </si>
  <si>
    <t>On-Time Rate by Quarter</t>
  </si>
  <si>
    <t>Column1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</si>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</sst>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1F1F1F"/>
      <name val="Aptos Display"/>
      <family val="2"/>
      <scheme val="major"/>
    </font>
    <font>
      <sz val="12"/>
      <color rgb="FF1F1F1F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0" fillId="2" borderId="1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3" borderId="0" xfId="0" applyFont="1" applyFill="1"/>
    <xf numFmtId="0" fontId="0" fillId="2" borderId="2" xfId="0" applyFill="1" applyBorder="1" applyAlignment="1">
      <alignment wrapText="1"/>
    </xf>
    <xf numFmtId="0" fontId="0" fillId="0" borderId="0" xfId="0" quotePrefix="1"/>
    <xf numFmtId="1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15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B519DF-B1A5-48AD-BA84-E81D83C24CC5}" name="Table1" displayName="Table1" ref="A1:E29" totalsRowShown="0">
  <autoFilter ref="A1:E29" xr:uid="{6FB519DF-B1A5-48AD-BA84-E81D83C24CC5}"/>
  <tableColumns count="5">
    <tableColumn id="1" xr3:uid="{A599A7BB-E332-474F-8EFD-0F4AD0E8C3EC}" name="columns"/>
    <tableColumn id="2" xr3:uid="{08724C87-569E-4F62-BB99-C091065A103D}" name="datatype" dataDxfId="2"/>
    <tableColumn id="3" xr3:uid="{6BECBE28-BDF1-414B-9E38-608EE1572EDD}" name="Actual_datatype" dataDxfId="1"/>
    <tableColumn id="4" xr3:uid="{E40BF4D7-30B0-49C8-B40D-393A9CEF7B4E}" name="Nulls"/>
    <tableColumn id="5" xr3:uid="{A7BBB571-9C25-4A75-A0CF-E2635AA836A0}" name="Info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670E6B-190E-4E42-A3B6-C615DFEF0B7C}" name="Table4" displayName="Table4" ref="A3:F19" totalsRowShown="0">
  <autoFilter ref="A3:F19" xr:uid="{A3670E6B-190E-4E42-A3B6-C615DFEF0B7C}"/>
  <tableColumns count="6">
    <tableColumn id="1" xr3:uid="{F35DCE6B-5A17-472A-AF6E-0DED160370FE}" name="no"/>
    <tableColumn id="6" xr3:uid="{9513614A-FC20-4377-86DE-AADD199488DD}" name="Column1" dataDxfId="0">
      <calculatedColumnFormula array="1">_xlfn.SEQUENCE(COUNTA(C:C))</calculatedColumnFormula>
    </tableColumn>
    <tableColumn id="2" xr3:uid="{C9EF2764-3C2B-4B58-8C63-E3B7C5DB43C4}" name="KPI Name"/>
    <tableColumn id="3" xr3:uid="{0A72975D-C164-4DF2-B851-C64C38C5F048}" name="Formula"/>
    <tableColumn id="4" xr3:uid="{116AEDCB-8728-413C-A4DC-F5AFF3AAC9F7}" name="Page"/>
    <tableColumn id="5" xr3:uid="{AAB830D5-7F51-414F-BC63-4005E9293C9C}" name="Ans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296D-D4C6-49D4-AAC8-8BAD744D5818}">
  <dimension ref="A1:E29"/>
  <sheetViews>
    <sheetView workbookViewId="0">
      <selection activeCell="A3" sqref="A3:A5"/>
    </sheetView>
  </sheetViews>
  <sheetFormatPr defaultRowHeight="15.6" x14ac:dyDescent="0.3"/>
  <cols>
    <col min="1" max="1" width="20.5546875" bestFit="1" customWidth="1"/>
    <col min="2" max="2" width="11" style="2" customWidth="1"/>
    <col min="3" max="3" width="16.44140625" customWidth="1"/>
    <col min="5" max="5" width="88.33203125" bestFit="1" customWidth="1"/>
  </cols>
  <sheetData>
    <row r="1" spans="1:5" x14ac:dyDescent="0.3">
      <c r="A1" t="s">
        <v>28</v>
      </c>
      <c r="B1" s="2" t="s">
        <v>29</v>
      </c>
      <c r="C1" t="s">
        <v>30</v>
      </c>
      <c r="D1" t="s">
        <v>31</v>
      </c>
      <c r="E1" t="s">
        <v>32</v>
      </c>
    </row>
    <row r="2" spans="1:5" x14ac:dyDescent="0.3">
      <c r="A2" t="s">
        <v>0</v>
      </c>
      <c r="B2" s="1" t="s">
        <v>33</v>
      </c>
      <c r="C2" s="1" t="s">
        <v>33</v>
      </c>
      <c r="D2" t="s">
        <v>38</v>
      </c>
      <c r="E2" t="s">
        <v>39</v>
      </c>
    </row>
    <row r="3" spans="1:5" x14ac:dyDescent="0.3">
      <c r="A3" t="s">
        <v>1</v>
      </c>
      <c r="B3" s="1" t="s">
        <v>33</v>
      </c>
      <c r="C3" t="s">
        <v>36</v>
      </c>
      <c r="D3" t="s">
        <v>38</v>
      </c>
      <c r="E3" t="s">
        <v>40</v>
      </c>
    </row>
    <row r="4" spans="1:5" x14ac:dyDescent="0.3">
      <c r="A4" t="s">
        <v>2</v>
      </c>
      <c r="B4" s="1" t="s">
        <v>33</v>
      </c>
      <c r="C4" t="s">
        <v>36</v>
      </c>
      <c r="D4" t="s">
        <v>38</v>
      </c>
      <c r="E4" t="s">
        <v>41</v>
      </c>
    </row>
    <row r="5" spans="1:5" x14ac:dyDescent="0.3">
      <c r="A5" t="s">
        <v>3</v>
      </c>
      <c r="B5" s="1" t="s">
        <v>33</v>
      </c>
      <c r="C5" t="s">
        <v>36</v>
      </c>
      <c r="D5" t="s">
        <v>37</v>
      </c>
      <c r="E5" t="s">
        <v>42</v>
      </c>
    </row>
    <row r="6" spans="1:5" x14ac:dyDescent="0.3">
      <c r="A6" t="s">
        <v>4</v>
      </c>
      <c r="B6" s="1" t="s">
        <v>35</v>
      </c>
      <c r="C6" s="1" t="s">
        <v>34</v>
      </c>
      <c r="D6" t="s">
        <v>37</v>
      </c>
      <c r="E6" t="s">
        <v>43</v>
      </c>
    </row>
    <row r="7" spans="1:5" ht="43.2" x14ac:dyDescent="0.3">
      <c r="A7" t="s">
        <v>5</v>
      </c>
      <c r="B7" s="2" t="s">
        <v>33</v>
      </c>
      <c r="C7" s="2" t="s">
        <v>33</v>
      </c>
      <c r="D7" t="s">
        <v>37</v>
      </c>
      <c r="E7" s="3" t="s">
        <v>61</v>
      </c>
    </row>
    <row r="8" spans="1:5" x14ac:dyDescent="0.3">
      <c r="A8" t="s">
        <v>6</v>
      </c>
      <c r="B8" s="1" t="s">
        <v>35</v>
      </c>
      <c r="C8" s="1" t="s">
        <v>35</v>
      </c>
      <c r="D8" t="s">
        <v>37</v>
      </c>
      <c r="E8" t="s">
        <v>59</v>
      </c>
    </row>
    <row r="9" spans="1:5" x14ac:dyDescent="0.3">
      <c r="A9" t="s">
        <v>7</v>
      </c>
      <c r="B9" s="1" t="s">
        <v>33</v>
      </c>
      <c r="C9" s="1" t="s">
        <v>33</v>
      </c>
      <c r="D9" t="s">
        <v>38</v>
      </c>
      <c r="E9" t="s">
        <v>60</v>
      </c>
    </row>
    <row r="10" spans="1:5" x14ac:dyDescent="0.3">
      <c r="A10" t="s">
        <v>8</v>
      </c>
      <c r="B10" s="1" t="s">
        <v>33</v>
      </c>
      <c r="C10" s="1" t="s">
        <v>33</v>
      </c>
      <c r="D10" t="s">
        <v>38</v>
      </c>
      <c r="E10" t="s">
        <v>60</v>
      </c>
    </row>
    <row r="11" spans="1:5" x14ac:dyDescent="0.3">
      <c r="A11" t="s">
        <v>9</v>
      </c>
      <c r="B11" s="1" t="s">
        <v>33</v>
      </c>
      <c r="C11" s="1" t="s">
        <v>33</v>
      </c>
      <c r="D11" t="s">
        <v>38</v>
      </c>
      <c r="E11" t="s">
        <v>60</v>
      </c>
    </row>
    <row r="12" spans="1:5" x14ac:dyDescent="0.3">
      <c r="A12" t="s">
        <v>10</v>
      </c>
      <c r="B12" s="1" t="s">
        <v>33</v>
      </c>
      <c r="C12" s="1" t="s">
        <v>33</v>
      </c>
      <c r="D12" t="s">
        <v>38</v>
      </c>
      <c r="E12" t="s">
        <v>44</v>
      </c>
    </row>
    <row r="13" spans="1:5" x14ac:dyDescent="0.3">
      <c r="A13" t="s">
        <v>11</v>
      </c>
      <c r="B13" s="1" t="s">
        <v>33</v>
      </c>
      <c r="C13" s="1" t="s">
        <v>33</v>
      </c>
      <c r="D13" t="s">
        <v>38</v>
      </c>
      <c r="E13" t="s">
        <v>44</v>
      </c>
    </row>
    <row r="14" spans="1:5" x14ac:dyDescent="0.3">
      <c r="A14" t="s">
        <v>12</v>
      </c>
      <c r="B14" s="1" t="s">
        <v>33</v>
      </c>
      <c r="C14" s="1" t="s">
        <v>33</v>
      </c>
      <c r="D14" t="s">
        <v>38</v>
      </c>
      <c r="E14" t="s">
        <v>44</v>
      </c>
    </row>
    <row r="15" spans="1:5" x14ac:dyDescent="0.3">
      <c r="A15" t="s">
        <v>13</v>
      </c>
      <c r="B15" s="1" t="s">
        <v>33</v>
      </c>
      <c r="C15" s="1" t="s">
        <v>33</v>
      </c>
      <c r="D15" t="s">
        <v>38</v>
      </c>
      <c r="E15" t="s">
        <v>45</v>
      </c>
    </row>
    <row r="16" spans="1:5" x14ac:dyDescent="0.3">
      <c r="A16" t="s">
        <v>14</v>
      </c>
      <c r="B16" s="1" t="s">
        <v>35</v>
      </c>
      <c r="C16" s="1" t="s">
        <v>35</v>
      </c>
      <c r="D16" t="s">
        <v>38</v>
      </c>
      <c r="E16" t="s">
        <v>46</v>
      </c>
    </row>
    <row r="17" spans="1:5" x14ac:dyDescent="0.3">
      <c r="A17" t="s">
        <v>15</v>
      </c>
      <c r="B17" s="1" t="s">
        <v>33</v>
      </c>
      <c r="C17" s="1" t="s">
        <v>33</v>
      </c>
      <c r="D17" t="s">
        <v>38</v>
      </c>
      <c r="E17" t="s">
        <v>47</v>
      </c>
    </row>
    <row r="18" spans="1:5" x14ac:dyDescent="0.3">
      <c r="A18" t="s">
        <v>16</v>
      </c>
      <c r="B18" s="1" t="s">
        <v>33</v>
      </c>
      <c r="C18" s="1" t="s">
        <v>33</v>
      </c>
      <c r="D18" t="s">
        <v>38</v>
      </c>
      <c r="E18" t="s">
        <v>48</v>
      </c>
    </row>
    <row r="19" spans="1:5" x14ac:dyDescent="0.3">
      <c r="A19" t="s">
        <v>17</v>
      </c>
      <c r="B19" s="1" t="s">
        <v>33</v>
      </c>
      <c r="C19" s="1" t="s">
        <v>33</v>
      </c>
      <c r="D19" t="s">
        <v>38</v>
      </c>
      <c r="E19" t="s">
        <v>48</v>
      </c>
    </row>
    <row r="20" spans="1:5" x14ac:dyDescent="0.3">
      <c r="A20" t="s">
        <v>18</v>
      </c>
      <c r="B20" s="1" t="s">
        <v>33</v>
      </c>
      <c r="C20" s="1" t="s">
        <v>33</v>
      </c>
      <c r="D20" t="s">
        <v>38</v>
      </c>
      <c r="E20" t="s">
        <v>49</v>
      </c>
    </row>
    <row r="21" spans="1:5" x14ac:dyDescent="0.3">
      <c r="A21" t="s">
        <v>19</v>
      </c>
      <c r="B21" s="1" t="s">
        <v>33</v>
      </c>
      <c r="C21" s="1" t="s">
        <v>33</v>
      </c>
      <c r="D21" t="s">
        <v>38</v>
      </c>
      <c r="E21" t="s">
        <v>50</v>
      </c>
    </row>
    <row r="22" spans="1:5" ht="28.8" x14ac:dyDescent="0.3">
      <c r="A22" t="s">
        <v>20</v>
      </c>
      <c r="B22" s="1" t="s">
        <v>33</v>
      </c>
      <c r="C22" s="1" t="s">
        <v>33</v>
      </c>
      <c r="D22" t="s">
        <v>38</v>
      </c>
      <c r="E22" s="3" t="s">
        <v>51</v>
      </c>
    </row>
    <row r="23" spans="1:5" x14ac:dyDescent="0.3">
      <c r="A23" t="s">
        <v>21</v>
      </c>
      <c r="B23" s="1" t="s">
        <v>35</v>
      </c>
      <c r="C23" s="1" t="s">
        <v>35</v>
      </c>
      <c r="D23" t="s">
        <v>38</v>
      </c>
      <c r="E23" t="s">
        <v>52</v>
      </c>
    </row>
    <row r="24" spans="1:5" x14ac:dyDescent="0.3">
      <c r="A24" t="s">
        <v>22</v>
      </c>
      <c r="B24" s="1" t="s">
        <v>35</v>
      </c>
      <c r="C24" s="1" t="s">
        <v>35</v>
      </c>
      <c r="D24" t="s">
        <v>38</v>
      </c>
      <c r="E24" t="s">
        <v>53</v>
      </c>
    </row>
    <row r="25" spans="1:5" x14ac:dyDescent="0.3">
      <c r="A25" t="s">
        <v>23</v>
      </c>
      <c r="B25" s="1" t="s">
        <v>35</v>
      </c>
      <c r="C25" s="1" t="s">
        <v>35</v>
      </c>
      <c r="D25" t="s">
        <v>38</v>
      </c>
      <c r="E25" t="s">
        <v>54</v>
      </c>
    </row>
    <row r="26" spans="1:5" x14ac:dyDescent="0.3">
      <c r="A26" t="s">
        <v>24</v>
      </c>
      <c r="B26" s="2" t="s">
        <v>33</v>
      </c>
      <c r="C26" s="2" t="s">
        <v>33</v>
      </c>
      <c r="D26" t="s">
        <v>38</v>
      </c>
      <c r="E26" t="s">
        <v>55</v>
      </c>
    </row>
    <row r="27" spans="1:5" x14ac:dyDescent="0.3">
      <c r="A27" t="s">
        <v>25</v>
      </c>
      <c r="B27" s="2" t="s">
        <v>33</v>
      </c>
      <c r="C27" s="2" t="s">
        <v>33</v>
      </c>
      <c r="D27" t="s">
        <v>38</v>
      </c>
      <c r="E27" t="s">
        <v>56</v>
      </c>
    </row>
    <row r="28" spans="1:5" x14ac:dyDescent="0.3">
      <c r="A28" t="s">
        <v>26</v>
      </c>
      <c r="B28" s="2" t="s">
        <v>33</v>
      </c>
      <c r="C28" s="2" t="s">
        <v>33</v>
      </c>
      <c r="D28" t="s">
        <v>37</v>
      </c>
      <c r="E28" t="s">
        <v>57</v>
      </c>
    </row>
    <row r="29" spans="1:5" x14ac:dyDescent="0.3">
      <c r="A29" t="s">
        <v>27</v>
      </c>
      <c r="B29" s="2" t="s">
        <v>33</v>
      </c>
      <c r="C29" s="2" t="s">
        <v>33</v>
      </c>
      <c r="D29" t="s">
        <v>37</v>
      </c>
      <c r="E29" s="4" t="s">
        <v>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C394E-A21E-4A7D-9438-A2B1D18F6EF9}">
  <dimension ref="A1:D5"/>
  <sheetViews>
    <sheetView workbookViewId="0">
      <selection activeCell="C5" sqref="C5"/>
    </sheetView>
  </sheetViews>
  <sheetFormatPr defaultRowHeight="14.4" x14ac:dyDescent="0.3"/>
  <cols>
    <col min="1" max="1" width="30.88671875" bestFit="1" customWidth="1"/>
    <col min="2" max="2" width="73.21875" bestFit="1" customWidth="1"/>
    <col min="3" max="3" width="93.88671875" bestFit="1" customWidth="1"/>
    <col min="4" max="4" width="11.109375" bestFit="1" customWidth="1"/>
  </cols>
  <sheetData>
    <row r="1" spans="1:4" ht="18" x14ac:dyDescent="0.35">
      <c r="A1" s="10" t="s">
        <v>68</v>
      </c>
      <c r="B1" s="10" t="s">
        <v>69</v>
      </c>
      <c r="C1" s="10" t="s">
        <v>70</v>
      </c>
      <c r="D1" s="10" t="s">
        <v>71</v>
      </c>
    </row>
    <row r="2" spans="1:4" ht="43.2" x14ac:dyDescent="0.3">
      <c r="A2" s="5" t="s">
        <v>62</v>
      </c>
      <c r="B2" s="11" t="s">
        <v>76</v>
      </c>
      <c r="C2" s="11" t="s">
        <v>77</v>
      </c>
      <c r="D2" s="6" t="s">
        <v>64</v>
      </c>
    </row>
    <row r="3" spans="1:4" x14ac:dyDescent="0.3">
      <c r="A3" s="7" t="s">
        <v>65</v>
      </c>
      <c r="B3" s="8" t="s">
        <v>72</v>
      </c>
      <c r="C3" s="8" t="s">
        <v>78</v>
      </c>
      <c r="D3" s="9" t="s">
        <v>64</v>
      </c>
    </row>
    <row r="4" spans="1:4" x14ac:dyDescent="0.3">
      <c r="A4" s="7" t="s">
        <v>66</v>
      </c>
      <c r="B4" s="8" t="s">
        <v>73</v>
      </c>
      <c r="C4" s="8" t="s">
        <v>67</v>
      </c>
      <c r="D4" s="9" t="s">
        <v>64</v>
      </c>
    </row>
    <row r="5" spans="1:4" x14ac:dyDescent="0.3">
      <c r="A5" t="s">
        <v>74</v>
      </c>
      <c r="B5" t="s">
        <v>75</v>
      </c>
      <c r="C5" t="s">
        <v>63</v>
      </c>
      <c r="D5" s="9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02DA9-30D3-47AE-897F-544629CD3699}">
  <dimension ref="A3:F19"/>
  <sheetViews>
    <sheetView tabSelected="1" workbookViewId="0">
      <selection activeCell="D22" sqref="D22"/>
    </sheetView>
  </sheetViews>
  <sheetFormatPr defaultRowHeight="14.4" x14ac:dyDescent="0.3"/>
  <cols>
    <col min="3" max="3" width="19.109375" bestFit="1" customWidth="1"/>
    <col min="4" max="4" width="34" bestFit="1" customWidth="1"/>
    <col min="6" max="6" width="17" customWidth="1"/>
  </cols>
  <sheetData>
    <row r="3" spans="1:6" x14ac:dyDescent="0.3">
      <c r="A3" t="s">
        <v>114</v>
      </c>
      <c r="B3" t="s">
        <v>113</v>
      </c>
      <c r="C3" t="s">
        <v>81</v>
      </c>
      <c r="D3" t="s">
        <v>79</v>
      </c>
      <c r="E3" t="s">
        <v>80</v>
      </c>
      <c r="F3" t="s">
        <v>84</v>
      </c>
    </row>
    <row r="4" spans="1:6" x14ac:dyDescent="0.3">
      <c r="A4" t="e" cm="1" vm="1">
        <f t="array" aca="1" ref="A4" ca="1">_xlfn.SEQUENCE(COUNTA(C:C))</f>
        <v>#VALUE!</v>
      </c>
      <c r="B4" t="e" cm="1" vm="1">
        <f t="array" aca="1" ref="B4" ca="1">_xlfn.SEQUENCE(COUNTA(C:C))</f>
        <v>#VALUE!</v>
      </c>
      <c r="C4" t="s">
        <v>85</v>
      </c>
      <c r="D4" t="s">
        <v>89</v>
      </c>
      <c r="E4">
        <v>1</v>
      </c>
      <c r="F4" s="12">
        <v>436328</v>
      </c>
    </row>
    <row r="5" spans="1:6" x14ac:dyDescent="0.3">
      <c r="A5" t="e" cm="1" vm="1">
        <f t="array" aca="1" ref="A5" ca="1">_xlfn.SEQUENCE(COUNTA(C:C))</f>
        <v>#VALUE!</v>
      </c>
      <c r="B5" t="e" cm="1" vm="1">
        <f t="array" aca="1" ref="B5" ca="1">_xlfn.SEQUENCE(COUNTA(C:C))</f>
        <v>#VALUE!</v>
      </c>
      <c r="C5" t="s">
        <v>82</v>
      </c>
      <c r="D5" t="s">
        <v>83</v>
      </c>
      <c r="E5">
        <v>1</v>
      </c>
      <c r="F5" s="13">
        <v>0.48870000000000002</v>
      </c>
    </row>
    <row r="6" spans="1:6" x14ac:dyDescent="0.3">
      <c r="A6" t="e" cm="1" vm="1">
        <f t="array" aca="1" ref="A6" ca="1">_xlfn.SEQUENCE(COUNTA(C:C))</f>
        <v>#VALUE!</v>
      </c>
      <c r="B6" t="e" cm="1" vm="1">
        <f t="array" aca="1" ref="B6" ca="1">_xlfn.SEQUENCE(COUNTA(C:C))</f>
        <v>#VALUE!</v>
      </c>
      <c r="C6" t="s">
        <v>86</v>
      </c>
      <c r="D6" t="s">
        <v>87</v>
      </c>
      <c r="E6">
        <v>1</v>
      </c>
      <c r="F6" t="s">
        <v>88</v>
      </c>
    </row>
    <row r="7" spans="1:6" x14ac:dyDescent="0.3">
      <c r="A7" t="e" cm="1" vm="1">
        <f t="array" aca="1" ref="A7" ca="1">_xlfn.SEQUENCE(COUNTA(C:C))</f>
        <v>#VALUE!</v>
      </c>
      <c r="B7" t="e" cm="1" vm="1">
        <f t="array" aca="1" ref="B7" ca="1">_xlfn.SEQUENCE(COUNTA(C:C))</f>
        <v>#VALUE!</v>
      </c>
      <c r="C7" t="s">
        <v>90</v>
      </c>
      <c r="D7" t="s">
        <v>91</v>
      </c>
      <c r="E7">
        <v>1</v>
      </c>
      <c r="F7">
        <v>60217001.07</v>
      </c>
    </row>
    <row r="8" spans="1:6" x14ac:dyDescent="0.3">
      <c r="A8" t="e" cm="1" vm="1">
        <f t="array" aca="1" ref="A8" ca="1">_xlfn.SEQUENCE(COUNTA(C:C))</f>
        <v>#VALUE!</v>
      </c>
      <c r="B8" t="e" cm="1" vm="1">
        <f t="array" aca="1" ref="B8" ca="1">_xlfn.SEQUENCE(COUNTA(C:C))</f>
        <v>#VALUE!</v>
      </c>
      <c r="C8" t="s">
        <v>92</v>
      </c>
      <c r="D8" t="s">
        <v>93</v>
      </c>
      <c r="E8">
        <v>1</v>
      </c>
      <c r="F8">
        <v>3078943479.1300001</v>
      </c>
    </row>
    <row r="9" spans="1:6" x14ac:dyDescent="0.3">
      <c r="A9" t="e" cm="1" vm="1">
        <f t="array" aca="1" ref="A9" ca="1">_xlfn.SEQUENCE(COUNTA(C:C))</f>
        <v>#VALUE!</v>
      </c>
      <c r="B9" t="e" cm="1" vm="1">
        <f t="array" aca="1" ref="B9" ca="1">_xlfn.SEQUENCE(COUNTA(C:C))</f>
        <v>#VALUE!</v>
      </c>
      <c r="C9" t="s">
        <v>94</v>
      </c>
      <c r="D9" t="s">
        <v>95</v>
      </c>
      <c r="E9">
        <v>1</v>
      </c>
      <c r="F9">
        <v>138.01</v>
      </c>
    </row>
    <row r="10" spans="1:6" x14ac:dyDescent="0.3">
      <c r="A10" t="e" cm="1" vm="1">
        <f t="array" aca="1" ref="A10" ca="1">_xlfn.SEQUENCE(COUNTA(C:C))</f>
        <v>#VALUE!</v>
      </c>
      <c r="B10" t="e" cm="1" vm="1">
        <f t="array" aca="1" ref="B10" ca="1">_xlfn.SEQUENCE(COUNTA(C:C))</f>
        <v>#VALUE!</v>
      </c>
      <c r="C10" t="s">
        <v>96</v>
      </c>
      <c r="D10" t="s">
        <v>97</v>
      </c>
      <c r="E10">
        <v>1</v>
      </c>
    </row>
    <row r="11" spans="1:6" x14ac:dyDescent="0.3">
      <c r="A11" t="e" cm="1" vm="1">
        <f t="array" aca="1" ref="A11" ca="1">_xlfn.SEQUENCE(COUNTA(C:C))</f>
        <v>#VALUE!</v>
      </c>
      <c r="B11" t="e" cm="1" vm="1">
        <f t="array" aca="1" ref="B11" ca="1">_xlfn.SEQUENCE(COUNTA(C:C))</f>
        <v>#VALUE!</v>
      </c>
      <c r="C11" t="s">
        <v>98</v>
      </c>
      <c r="D11" t="s">
        <v>99</v>
      </c>
      <c r="E11">
        <v>2</v>
      </c>
    </row>
    <row r="12" spans="1:6" x14ac:dyDescent="0.3">
      <c r="A12" t="e" cm="1" vm="1">
        <f t="array" aca="1" ref="A12" ca="1">_xlfn.SEQUENCE(COUNTA(C:C))</f>
        <v>#VALUE!</v>
      </c>
      <c r="B12" t="e" cm="1" vm="1">
        <f t="array" aca="1" ref="B12" ca="1">_xlfn.SEQUENCE(COUNTA(C:C))</f>
        <v>#VALUE!</v>
      </c>
      <c r="C12" t="s">
        <v>100</v>
      </c>
      <c r="D12" t="s">
        <v>101</v>
      </c>
      <c r="E12">
        <v>2</v>
      </c>
    </row>
    <row r="13" spans="1:6" x14ac:dyDescent="0.3">
      <c r="A13" t="e" cm="1" vm="1">
        <f t="array" aca="1" ref="A13" ca="1">_xlfn.SEQUENCE(COUNTA(C:C))</f>
        <v>#VALUE!</v>
      </c>
      <c r="B13" t="e" cm="1" vm="1">
        <f t="array" aca="1" ref="B13" ca="1">_xlfn.SEQUENCE(COUNTA(C:C))</f>
        <v>#VALUE!</v>
      </c>
      <c r="C13" t="s">
        <v>102</v>
      </c>
      <c r="D13" t="s">
        <v>102</v>
      </c>
    </row>
    <row r="14" spans="1:6" x14ac:dyDescent="0.3">
      <c r="A14" t="e" cm="1" vm="1">
        <f t="array" aca="1" ref="A14" ca="1">_xlfn.SEQUENCE(COUNTA(C:C))</f>
        <v>#VALUE!</v>
      </c>
      <c r="B14" t="e" cm="1" vm="1">
        <f t="array" aca="1" ref="B14" ca="1">_xlfn.SEQUENCE(COUNTA(C:C))</f>
        <v>#VALUE!</v>
      </c>
      <c r="C14" t="s">
        <v>103</v>
      </c>
      <c r="D14" t="s">
        <v>104</v>
      </c>
      <c r="E14">
        <v>2</v>
      </c>
    </row>
    <row r="15" spans="1:6" x14ac:dyDescent="0.3">
      <c r="A15" t="e" cm="1" vm="1">
        <f t="array" aca="1" ref="A15" ca="1">_xlfn.SEQUENCE(COUNTA(C:C))</f>
        <v>#VALUE!</v>
      </c>
      <c r="B15" t="e" cm="1" vm="1">
        <f t="array" aca="1" ref="B15" ca="1">_xlfn.SEQUENCE(COUNTA(C:C))</f>
        <v>#VALUE!</v>
      </c>
      <c r="C15" t="s">
        <v>105</v>
      </c>
      <c r="D15" t="s">
        <v>106</v>
      </c>
    </row>
    <row r="16" spans="1:6" x14ac:dyDescent="0.3">
      <c r="A16" t="e" cm="1" vm="1">
        <f t="array" aca="1" ref="A16" ca="1">_xlfn.SEQUENCE(COUNTA(C:C))</f>
        <v>#VALUE!</v>
      </c>
      <c r="B16" t="e" cm="1" vm="1">
        <f t="array" aca="1" ref="B16" ca="1">_xlfn.SEQUENCE(COUNTA(C:C))</f>
        <v>#VALUE!</v>
      </c>
      <c r="C16" t="s">
        <v>107</v>
      </c>
      <c r="D16" t="s">
        <v>108</v>
      </c>
    </row>
    <row r="17" spans="1:4" x14ac:dyDescent="0.3">
      <c r="A17" t="e" cm="1" vm="1">
        <f t="array" aca="1" ref="A17" ca="1">_xlfn.SEQUENCE(COUNTA(C:C))</f>
        <v>#VALUE!</v>
      </c>
      <c r="B17" t="e" cm="1" vm="1">
        <f t="array" aca="1" ref="B17" ca="1">_xlfn.SEQUENCE(COUNTA(C:C))</f>
        <v>#VALUE!</v>
      </c>
      <c r="C17" t="s">
        <v>109</v>
      </c>
      <c r="D17" t="s">
        <v>110</v>
      </c>
    </row>
    <row r="18" spans="1:4" x14ac:dyDescent="0.3">
      <c r="A18" t="e" cm="1" vm="1">
        <f t="array" aca="1" ref="A18" ca="1">_xlfn.SEQUENCE(COUNTA(C:C))</f>
        <v>#VALUE!</v>
      </c>
      <c r="B18" t="e" cm="1" vm="1">
        <f t="array" aca="1" ref="B18" ca="1">_xlfn.SEQUENCE(COUNTA(C:C))</f>
        <v>#VALUE!</v>
      </c>
      <c r="C18" t="s">
        <v>111</v>
      </c>
      <c r="D18" t="s">
        <v>112</v>
      </c>
    </row>
    <row r="19" spans="1:4" x14ac:dyDescent="0.3">
      <c r="B19" t="e" cm="1" vm="1">
        <f t="array" aca="1" ref="B19" ca="1">_xlfn.SEQUENCE(COUNTA(C:C))</f>
        <v>#VALUE!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data_info</vt:lpstr>
      <vt:lpstr>Data_quality_logs</vt:lpstr>
      <vt:lpstr>kPI_Sheet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chandra jangam</dc:creator>
  <cp:lastModifiedBy>Bala chandra jangam</cp:lastModifiedBy>
  <dcterms:created xsi:type="dcterms:W3CDTF">2026-04-20T16:06:39Z</dcterms:created>
  <dcterms:modified xsi:type="dcterms:W3CDTF">2026-04-26T10:59:08Z</dcterms:modified>
</cp:coreProperties>
</file>